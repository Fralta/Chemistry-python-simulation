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<sst xmlns="http://schemas.openxmlformats.org/spreadsheetml/2006/main" count="110" uniqueCount="77">
  <si>
    <t xml:space="preserve">Options</t>
  </si>
  <si>
    <t xml:space="preserve">Dimensions (pixels)</t>
  </si>
  <si>
    <t xml:space="preserve">Width of outer frame (pixels)</t>
  </si>
  <si>
    <t xml:space="preserve">Window position</t>
  </si>
  <si>
    <t xml:space="preserve">Atom size scale factor</t>
  </si>
  <si>
    <t xml:space="preserve">Starting temperature (K)</t>
  </si>
  <si>
    <t xml:space="preserve">Velocity display scale factor</t>
  </si>
  <si>
    <t xml:space="preserve">Toggle reactions</t>
  </si>
  <si>
    <t xml:space="preserve">Framerate</t>
  </si>
  <si>
    <t xml:space="preserve">Show plot</t>
  </si>
  <si>
    <t xml:space="preserve">Ea method</t>
  </si>
  <si>
    <t xml:space="preserve">Iterations</t>
  </si>
  <si>
    <t xml:space="preserve">Save invalid Lewis structures</t>
  </si>
  <si>
    <t xml:space="preserve">Lewis structure display scale factor</t>
  </si>
  <si>
    <t xml:space="preserve">150, 50</t>
  </si>
  <si>
    <t xml:space="preserve">Prob</t>
  </si>
  <si>
    <t xml:space="preserve">(Position of window on monitor screen from top left (pixels; x, y))</t>
  </si>
  <si>
    <t xml:space="preserve">(Scales down velocities for appearance on the screen whilst still maintaining thermodynamics / velocities according to starting temperature)</t>
  </si>
  <si>
    <t xml:space="preserve">('Prob' for probability-based method; 'Rel' for relative velocities method)</t>
  </si>
  <si>
    <t xml:space="preserve">(Iterations of substance position between current and next, to check for collisions in the intermediate positions between the current and next positions. A greater value improves collision accuracy at high speeds, but is slower.)</t>
  </si>
  <si>
    <t xml:space="preserve">(Saves as an image. When enabled, the incorrect Lewis structures will flash up on the screen at the start.)</t>
  </si>
  <si>
    <t xml:space="preserve"> </t>
  </si>
  <si>
    <t xml:space="preserve">Atom information</t>
  </si>
  <si>
    <t xml:space="preserve">Atom</t>
  </si>
  <si>
    <t xml:space="preserve">H</t>
  </si>
  <si>
    <t xml:space="preserve">N</t>
  </si>
  <si>
    <t xml:space="preserve">O</t>
  </si>
  <si>
    <t xml:space="preserve">F</t>
  </si>
  <si>
    <t xml:space="preserve">C</t>
  </si>
  <si>
    <t xml:space="preserve">Colour</t>
  </si>
  <si>
    <t xml:space="preserve">white</t>
  </si>
  <si>
    <t xml:space="preserve">purple</t>
  </si>
  <si>
    <t xml:space="preserve">blue</t>
  </si>
  <si>
    <t xml:space="preserve">yellow</t>
  </si>
  <si>
    <t xml:space="preserve">darkgreen</t>
  </si>
  <si>
    <t xml:space="preserve">Radius / pm</t>
  </si>
  <si>
    <t xml:space="preserve">Ar (mass) / Da</t>
  </si>
  <si>
    <t xml:space="preserve">Outer electrons</t>
  </si>
  <si>
    <t xml:space="preserve">Valence</t>
  </si>
  <si>
    <t xml:space="preserve">Reaction information</t>
  </si>
  <si>
    <t xml:space="preserve">(write reactants and products in alphabetical order)</t>
  </si>
  <si>
    <t xml:space="preserve">Reactants</t>
  </si>
  <si>
    <t xml:space="preserve">N+O</t>
  </si>
  <si>
    <t xml:space="preserve">N2+O2</t>
  </si>
  <si>
    <t xml:space="preserve">NO+NO+O2</t>
  </si>
  <si>
    <t xml:space="preserve">H2+H2+O2</t>
  </si>
  <si>
    <t xml:space="preserve">NH3</t>
  </si>
  <si>
    <t xml:space="preserve">Products</t>
  </si>
  <si>
    <t xml:space="preserve">NO</t>
  </si>
  <si>
    <t xml:space="preserve">NO+NO</t>
  </si>
  <si>
    <t xml:space="preserve">NO2+NO2</t>
  </si>
  <si>
    <t xml:space="preserve">H2O+H2O</t>
  </si>
  <si>
    <t xml:space="preserve">H+H2+N</t>
  </si>
  <si>
    <t xml:space="preserve">K</t>
  </si>
  <si>
    <t xml:space="preserve">Ea / J mol-1</t>
  </si>
  <si>
    <t xml:space="preserve">k / s-1 (forwards reaction)</t>
  </si>
  <si>
    <t xml:space="preserve">-</t>
  </si>
  <si>
    <t xml:space="preserve">Study for second-order reaction?</t>
  </si>
  <si>
    <t xml:space="preserve">Yb</t>
  </si>
  <si>
    <t xml:space="preserve">Substance / atom counts</t>
  </si>
  <si>
    <t xml:space="preserve">Substance / atom</t>
  </si>
  <si>
    <t xml:space="preserve">H2</t>
  </si>
  <si>
    <t xml:space="preserve">N2</t>
  </si>
  <si>
    <t xml:space="preserve">O2</t>
  </si>
  <si>
    <t xml:space="preserve">H2O</t>
  </si>
  <si>
    <t xml:space="preserve">NO2</t>
  </si>
  <si>
    <t xml:space="preserve">CH4</t>
  </si>
  <si>
    <t xml:space="preserve">Count</t>
  </si>
  <si>
    <t xml:space="preserve">Display on plot?</t>
  </si>
  <si>
    <t xml:space="preserve">Colour on plot</t>
  </si>
  <si>
    <t xml:space="preserve">brown</t>
  </si>
  <si>
    <t xml:space="preserve">Orange</t>
  </si>
  <si>
    <t xml:space="preserve">Purple</t>
  </si>
  <si>
    <t xml:space="preserve">Green</t>
  </si>
  <si>
    <t xml:space="preserve">Blue</t>
  </si>
  <si>
    <t xml:space="preserve">Red</t>
  </si>
  <si>
    <t xml:space="preserve">Central atom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</si>
</sst>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AA95"/>
        <bgColor rgb="FFFFCC99"/>
      </patternFill>
    </fill>
    <fill>
      <patternFill patternType="solid">
        <fgColor rgb="FFAFD095"/>
        <bgColor rgb="FF99CCFF"/>
      </patternFill>
    </fill>
    <fill>
      <patternFill patternType="solid">
        <fgColor rgb="FF3FAF46"/>
        <bgColor rgb="FF33CC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tru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tru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False" xfId="20"/>
    <cellStyle name="True" xfId="21"/>
    <cellStyle name="Untitled1" xfId="22"/>
    <cellStyle name="Untitled2" xfId="23"/>
    <cellStyle name="Untitled3" xfId="24"/>
  </cellStyles>
  <dxfs count="2">
    <dxf>
      <font>
        <name val="Aptos Narrow"/>
        <charset val="1"/>
        <family val="2"/>
        <color rgb="FF000000"/>
        <sz val="11"/>
      </font>
      <fill>
        <patternFill>
          <bgColor rgb="FFFFAA95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AFD095"/>
        </patternFill>
      </fill>
      <border diagonalUp="false" diagonalDown="false">
        <left/>
        <right/>
        <top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A95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S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8.75390625" defaultRowHeight="14.25" customHeight="false" zeroHeight="false" outlineLevelRow="0" outlineLevelCol="0"/>
  <cols>
    <col collapsed="false" customWidth="true" hidden="false" outlineLevel="0" max="1" min="1" style="1" width="20.29"/>
    <col collapsed="false" customWidth="true" hidden="false" outlineLevel="0" max="2" min="2" style="1" width="13.59"/>
    <col collapsed="false" customWidth="true" hidden="false" outlineLevel="0" max="11" min="3" style="1" width="13.89"/>
    <col collapsed="false" customWidth="true" hidden="false" outlineLevel="0" max="12" min="12" style="1" width="12.5"/>
    <col collapsed="false" customWidth="false" hidden="false" outlineLevel="0" max="16384" min="13" style="1" width="8.75"/>
  </cols>
  <sheetData>
    <row r="2" customFormat="false" ht="14.25" hidden="false" customHeight="false" outlineLevel="0" collapsed="false">
      <c r="A2" s="2" t="s">
        <v>0</v>
      </c>
    </row>
    <row r="3" customFormat="false" ht="14.2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4" t="s">
        <v>12</v>
      </c>
      <c r="M3" s="5" t="s">
        <v>13</v>
      </c>
    </row>
    <row r="4" customFormat="false" ht="14.25" hidden="false" customHeight="false" outlineLevel="0" collapsed="false">
      <c r="A4" s="3" t="n">
        <v>800</v>
      </c>
      <c r="B4" s="3" t="n">
        <v>40</v>
      </c>
      <c r="C4" s="3" t="s">
        <v>14</v>
      </c>
      <c r="D4" s="3" t="n">
        <v>0.15</v>
      </c>
      <c r="E4" s="3" t="n">
        <v>200</v>
      </c>
      <c r="F4" s="3" t="n">
        <v>0.01</v>
      </c>
      <c r="G4" s="6" t="n">
        <f aca="false">TRUE()</f>
        <v>1</v>
      </c>
      <c r="H4" s="3" t="n">
        <v>30</v>
      </c>
      <c r="I4" s="6" t="n">
        <f aca="false">FALSE()</f>
        <v>0</v>
      </c>
      <c r="J4" s="3" t="s">
        <v>15</v>
      </c>
      <c r="K4" s="3" t="n">
        <v>2</v>
      </c>
      <c r="L4" s="3" t="b">
        <f aca="false">FALSE()</f>
        <v>0</v>
      </c>
      <c r="M4" s="3" t="n">
        <v>10</v>
      </c>
    </row>
    <row r="5" customFormat="false" ht="14.25" hidden="false" customHeight="false" outlineLevel="0" collapsed="false">
      <c r="A5" s="3"/>
      <c r="B5" s="3"/>
      <c r="C5" s="3" t="s">
        <v>16</v>
      </c>
      <c r="D5" s="3"/>
      <c r="E5" s="3"/>
      <c r="F5" s="3" t="s">
        <v>17</v>
      </c>
      <c r="G5" s="3"/>
      <c r="H5" s="3"/>
      <c r="I5" s="3"/>
      <c r="J5" s="3" t="s">
        <v>18</v>
      </c>
      <c r="K5" s="3" t="s">
        <v>19</v>
      </c>
      <c r="L5" s="7" t="s">
        <v>20</v>
      </c>
      <c r="M5" s="1" t="s">
        <v>21</v>
      </c>
      <c r="N5" s="8"/>
    </row>
    <row r="7" customFormat="false" ht="14.25" hidden="false" customHeight="false" outlineLevel="0" collapsed="false">
      <c r="A7" s="2" t="s">
        <v>22</v>
      </c>
    </row>
    <row r="8" customFormat="false" ht="14.25" hidden="false" customHeight="false" outlineLevel="0" collapsed="false">
      <c r="A8" s="3" t="s">
        <v>23</v>
      </c>
      <c r="B8" s="3" t="s">
        <v>24</v>
      </c>
      <c r="C8" s="3" t="s">
        <v>25</v>
      </c>
      <c r="D8" s="3" t="s">
        <v>26</v>
      </c>
      <c r="E8" s="3" t="s">
        <v>27</v>
      </c>
      <c r="F8" s="3" t="s">
        <v>28</v>
      </c>
      <c r="G8" s="3"/>
      <c r="H8" s="3"/>
      <c r="I8" s="3"/>
      <c r="J8" s="3"/>
      <c r="K8" s="3"/>
      <c r="L8" s="3"/>
      <c r="M8" s="3"/>
    </row>
    <row r="9" customFormat="false" ht="14.25" hidden="false" customHeight="false" outlineLevel="0" collapsed="false">
      <c r="A9" s="3" t="s">
        <v>29</v>
      </c>
      <c r="B9" s="3" t="s">
        <v>30</v>
      </c>
      <c r="C9" s="3" t="s">
        <v>31</v>
      </c>
      <c r="D9" s="3" t="s">
        <v>32</v>
      </c>
      <c r="E9" s="3" t="s">
        <v>33</v>
      </c>
      <c r="F9" s="3" t="s">
        <v>34</v>
      </c>
      <c r="G9" s="3"/>
      <c r="H9" s="3"/>
      <c r="I9" s="3"/>
      <c r="J9" s="3"/>
      <c r="K9" s="3"/>
      <c r="L9" s="3"/>
      <c r="M9" s="3"/>
    </row>
    <row r="10" customFormat="false" ht="14.25" hidden="false" customHeight="false" outlineLevel="0" collapsed="false">
      <c r="A10" s="3" t="s">
        <v>35</v>
      </c>
      <c r="B10" s="3" t="n">
        <v>31</v>
      </c>
      <c r="C10" s="3" t="n">
        <v>71</v>
      </c>
      <c r="D10" s="3" t="n">
        <v>66</v>
      </c>
      <c r="E10" s="3" t="n">
        <v>64</v>
      </c>
      <c r="F10" s="3" t="n">
        <v>77</v>
      </c>
      <c r="G10" s="3"/>
      <c r="H10" s="3"/>
      <c r="I10" s="3"/>
      <c r="J10" s="3"/>
      <c r="K10" s="3"/>
      <c r="L10" s="3"/>
      <c r="M10" s="3"/>
    </row>
    <row r="11" customFormat="false" ht="14.25" hidden="false" customHeight="false" outlineLevel="0" collapsed="false">
      <c r="A11" s="3" t="s">
        <v>36</v>
      </c>
      <c r="B11" s="3" t="n">
        <v>1</v>
      </c>
      <c r="C11" s="3" t="n">
        <v>14</v>
      </c>
      <c r="D11" s="3" t="n">
        <v>16</v>
      </c>
      <c r="E11" s="3" t="n">
        <v>19</v>
      </c>
      <c r="F11" s="3" t="n">
        <v>12</v>
      </c>
      <c r="G11" s="3"/>
      <c r="H11" s="3"/>
      <c r="I11" s="3"/>
      <c r="J11" s="3"/>
      <c r="K11" s="3"/>
      <c r="L11" s="3"/>
      <c r="M11" s="3"/>
    </row>
    <row r="12" customFormat="false" ht="14.25" hidden="false" customHeight="false" outlineLevel="0" collapsed="false">
      <c r="A12" s="3" t="s">
        <v>37</v>
      </c>
      <c r="B12" s="3" t="n">
        <v>1</v>
      </c>
      <c r="C12" s="3" t="n">
        <v>5</v>
      </c>
      <c r="D12" s="3" t="n">
        <v>6</v>
      </c>
      <c r="E12" s="3" t="n">
        <v>7</v>
      </c>
      <c r="F12" s="3" t="n">
        <v>4</v>
      </c>
      <c r="G12" s="3"/>
      <c r="H12" s="3"/>
      <c r="I12" s="3"/>
      <c r="J12" s="3"/>
      <c r="K12" s="3"/>
      <c r="L12" s="3"/>
      <c r="M12" s="3"/>
    </row>
    <row r="13" customFormat="false" ht="20.1" hidden="false" customHeight="true" outlineLevel="0" collapsed="false">
      <c r="A13" s="9" t="s">
        <v>38</v>
      </c>
      <c r="B13" s="3" t="n">
        <v>1</v>
      </c>
      <c r="C13" s="3" t="n">
        <v>3</v>
      </c>
      <c r="D13" s="3" t="n">
        <v>2</v>
      </c>
      <c r="E13" s="3" t="n">
        <v>1</v>
      </c>
      <c r="F13" s="3" t="n">
        <v>4</v>
      </c>
      <c r="G13" s="3"/>
      <c r="H13" s="3"/>
      <c r="I13" s="3"/>
      <c r="J13" s="3"/>
      <c r="K13" s="3"/>
      <c r="L13" s="3"/>
      <c r="M13" s="3"/>
    </row>
    <row r="15" customFormat="false" ht="14.25" hidden="false" customHeight="false" outlineLevel="0" collapsed="false">
      <c r="A15" s="2" t="s">
        <v>39</v>
      </c>
      <c r="C15" s="1" t="s">
        <v>40</v>
      </c>
    </row>
    <row r="16" customFormat="false" ht="14.25" hidden="false" customHeight="false" outlineLevel="0" collapsed="false">
      <c r="A16" s="3" t="s">
        <v>41</v>
      </c>
      <c r="B16" s="3" t="s">
        <v>42</v>
      </c>
      <c r="C16" s="3" t="s">
        <v>43</v>
      </c>
      <c r="D16" s="3" t="s">
        <v>44</v>
      </c>
      <c r="E16" s="3" t="s">
        <v>45</v>
      </c>
      <c r="F16" s="3" t="s">
        <v>46</v>
      </c>
      <c r="G16" s="3"/>
      <c r="H16" s="3"/>
      <c r="I16" s="3"/>
      <c r="J16" s="3"/>
      <c r="K16" s="3"/>
      <c r="L16" s="3"/>
      <c r="M16" s="3"/>
    </row>
    <row r="17" customFormat="false" ht="14.25" hidden="false" customHeight="false" outlineLevel="0" collapsed="false">
      <c r="A17" s="3" t="s">
        <v>47</v>
      </c>
      <c r="B17" s="3" t="s">
        <v>48</v>
      </c>
      <c r="C17" s="3" t="s">
        <v>49</v>
      </c>
      <c r="D17" s="3" t="s">
        <v>50</v>
      </c>
      <c r="E17" s="3" t="s">
        <v>51</v>
      </c>
      <c r="F17" s="3" t="s">
        <v>52</v>
      </c>
      <c r="G17" s="3"/>
      <c r="H17" s="3"/>
      <c r="I17" s="3"/>
      <c r="J17" s="3"/>
      <c r="K17" s="3"/>
      <c r="L17" s="3"/>
      <c r="M17" s="3"/>
    </row>
    <row r="18" customFormat="false" ht="14.25" hidden="false" customHeight="false" outlineLevel="0" collapsed="false">
      <c r="A18" s="3" t="s">
        <v>53</v>
      </c>
      <c r="B18" s="3" t="n">
        <v>1</v>
      </c>
      <c r="C18" s="3" t="n">
        <v>5</v>
      </c>
      <c r="D18" s="3" t="n">
        <v>1</v>
      </c>
      <c r="E18" s="3" t="n">
        <v>3</v>
      </c>
      <c r="F18" s="3" t="n">
        <v>1</v>
      </c>
      <c r="G18" s="3"/>
      <c r="H18" s="3"/>
      <c r="I18" s="3"/>
      <c r="J18" s="3"/>
      <c r="K18" s="3"/>
      <c r="L18" s="3"/>
      <c r="M18" s="3"/>
    </row>
    <row r="19" customFormat="false" ht="14.25" hidden="false" customHeight="false" outlineLevel="0" collapsed="false">
      <c r="A19" s="3" t="s">
        <v>54</v>
      </c>
      <c r="B19" s="3" t="n">
        <v>3000</v>
      </c>
      <c r="C19" s="3" t="n">
        <v>4000</v>
      </c>
      <c r="D19" s="3" t="n">
        <v>2500</v>
      </c>
      <c r="E19" s="3" t="n">
        <v>400</v>
      </c>
      <c r="F19" s="3" t="n">
        <v>100</v>
      </c>
      <c r="G19" s="3"/>
      <c r="H19" s="3"/>
      <c r="I19" s="3"/>
      <c r="J19" s="3"/>
      <c r="K19" s="3"/>
      <c r="L19" s="3"/>
      <c r="M19" s="3"/>
    </row>
    <row r="20" customFormat="false" ht="14.25" hidden="false" customHeight="false" outlineLevel="0" collapsed="false">
      <c r="A20" s="3" t="s">
        <v>55</v>
      </c>
      <c r="B20" s="3" t="s">
        <v>56</v>
      </c>
      <c r="C20" s="3" t="s">
        <v>56</v>
      </c>
      <c r="D20" s="3" t="s">
        <v>56</v>
      </c>
      <c r="E20" s="3" t="s">
        <v>56</v>
      </c>
      <c r="F20" s="3" t="s">
        <v>56</v>
      </c>
      <c r="G20" s="3"/>
      <c r="H20" s="3"/>
      <c r="I20" s="3"/>
      <c r="J20" s="3"/>
      <c r="K20" s="3"/>
      <c r="L20" s="3"/>
      <c r="M20" s="3"/>
    </row>
    <row r="21" customFormat="false" ht="14.25" hidden="false" customHeight="false" outlineLevel="0" collapsed="false">
      <c r="A21" s="3" t="s">
        <v>57</v>
      </c>
      <c r="B21" s="3" t="s">
        <v>25</v>
      </c>
      <c r="C21" s="3" t="s">
        <v>58</v>
      </c>
      <c r="D21" s="3" t="s">
        <v>25</v>
      </c>
      <c r="E21" s="3" t="s">
        <v>25</v>
      </c>
      <c r="F21" s="3" t="s">
        <v>25</v>
      </c>
      <c r="G21" s="3"/>
      <c r="H21" s="3"/>
      <c r="I21" s="3"/>
      <c r="J21" s="3"/>
      <c r="K21" s="3"/>
      <c r="L21" s="3"/>
      <c r="M21" s="3"/>
    </row>
    <row r="23" customFormat="false" ht="14.25" hidden="false" customHeight="false" outlineLevel="0" collapsed="false">
      <c r="A23" s="2" t="s">
        <v>59</v>
      </c>
    </row>
    <row r="24" customFormat="false" ht="14.25" hidden="false" customHeight="false" outlineLevel="0" collapsed="false">
      <c r="A24" s="3" t="s">
        <v>60</v>
      </c>
      <c r="B24" s="3" t="s">
        <v>28</v>
      </c>
      <c r="C24" s="3" t="s">
        <v>24</v>
      </c>
      <c r="D24" s="3" t="s">
        <v>27</v>
      </c>
      <c r="E24" s="3" t="s">
        <v>25</v>
      </c>
      <c r="F24" s="3" t="s">
        <v>26</v>
      </c>
      <c r="G24" s="3" t="s">
        <v>61</v>
      </c>
      <c r="H24" s="3" t="s">
        <v>62</v>
      </c>
      <c r="I24" s="3" t="s">
        <v>48</v>
      </c>
      <c r="J24" s="3" t="s">
        <v>63</v>
      </c>
      <c r="K24" s="3" t="s">
        <v>64</v>
      </c>
      <c r="L24" s="3" t="s">
        <v>46</v>
      </c>
      <c r="M24" s="3" t="s">
        <v>65</v>
      </c>
      <c r="N24" s="3" t="s">
        <v>66</v>
      </c>
      <c r="O24" s="3"/>
      <c r="P24" s="3"/>
      <c r="Q24" s="3"/>
      <c r="R24" s="3"/>
      <c r="S24" s="3"/>
    </row>
    <row r="25" customFormat="false" ht="14.25" hidden="false" customHeight="false" outlineLevel="0" collapsed="false">
      <c r="A25" s="3" t="s">
        <v>67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60</v>
      </c>
      <c r="I25" s="3" t="n">
        <v>0</v>
      </c>
      <c r="J25" s="3" t="n">
        <v>60</v>
      </c>
      <c r="K25" s="3" t="n">
        <v>0</v>
      </c>
      <c r="L25" s="3" t="n">
        <v>0</v>
      </c>
      <c r="M25" s="3" t="n">
        <v>0</v>
      </c>
      <c r="N25" s="3" t="n">
        <v>0</v>
      </c>
      <c r="O25" s="3"/>
      <c r="P25" s="3"/>
      <c r="Q25" s="3"/>
      <c r="R25" s="3"/>
      <c r="S25" s="3"/>
    </row>
    <row r="26" customFormat="false" ht="14.25" hidden="false" customHeight="false" outlineLevel="0" collapsed="false">
      <c r="A26" s="3" t="s">
        <v>68</v>
      </c>
      <c r="B26" s="3" t="b">
        <f aca="false">FALSE()</f>
        <v>0</v>
      </c>
      <c r="C26" s="3" t="b">
        <f aca="false">FALSE()</f>
        <v>0</v>
      </c>
      <c r="D26" s="3" t="b">
        <f aca="false">FALSE()</f>
        <v>0</v>
      </c>
      <c r="E26" s="3" t="b">
        <f aca="false">FALSE()</f>
        <v>0</v>
      </c>
      <c r="F26" s="3" t="b">
        <f aca="false">FALSE()</f>
        <v>0</v>
      </c>
      <c r="G26" s="3" t="b">
        <f aca="false">FALSE()</f>
        <v>0</v>
      </c>
      <c r="H26" s="3" t="b">
        <f aca="false">TRUE()</f>
        <v>1</v>
      </c>
      <c r="I26" s="3" t="b">
        <f aca="false">TRUE()</f>
        <v>1</v>
      </c>
      <c r="J26" s="3" t="b">
        <f aca="false">TRUE()</f>
        <v>1</v>
      </c>
      <c r="K26" s="3" t="b">
        <f aca="false">FALSE()</f>
        <v>0</v>
      </c>
      <c r="L26" s="3" t="b">
        <f aca="false">FALSE()</f>
        <v>0</v>
      </c>
      <c r="M26" s="3" t="b">
        <f aca="false">TRUE()</f>
        <v>1</v>
      </c>
      <c r="N26" s="3" t="b">
        <f aca="false">FALSE()</f>
        <v>0</v>
      </c>
      <c r="O26" s="3"/>
      <c r="P26" s="3"/>
      <c r="Q26" s="3"/>
      <c r="R26" s="3"/>
      <c r="S26" s="3"/>
    </row>
    <row r="27" customFormat="false" ht="14.25" hidden="false" customHeight="false" outlineLevel="0" collapsed="false">
      <c r="A27" s="3" t="s">
        <v>69</v>
      </c>
      <c r="B27" s="3" t="s">
        <v>34</v>
      </c>
      <c r="C27" s="3" t="s">
        <v>33</v>
      </c>
      <c r="D27" s="3" t="s">
        <v>70</v>
      </c>
      <c r="E27" s="3" t="str">
        <f aca="false">C9</f>
        <v>purple</v>
      </c>
      <c r="F27" s="3" t="str">
        <f aca="false">D9</f>
        <v>blue</v>
      </c>
      <c r="G27" s="3" t="s">
        <v>71</v>
      </c>
      <c r="H27" s="3" t="s">
        <v>72</v>
      </c>
      <c r="I27" s="3" t="s">
        <v>73</v>
      </c>
      <c r="J27" s="3" t="s">
        <v>74</v>
      </c>
      <c r="K27" s="3" t="s">
        <v>73</v>
      </c>
      <c r="L27" s="3" t="s">
        <v>74</v>
      </c>
      <c r="M27" s="3" t="s">
        <v>75</v>
      </c>
      <c r="N27" s="3" t="s">
        <v>70</v>
      </c>
      <c r="O27" s="3"/>
      <c r="P27" s="3"/>
      <c r="Q27" s="3"/>
      <c r="R27" s="3"/>
      <c r="S27" s="3"/>
    </row>
    <row r="28" customFormat="false" ht="14.25" hidden="false" customHeight="false" outlineLevel="0" collapsed="false">
      <c r="A28" s="3" t="s">
        <v>76</v>
      </c>
      <c r="B28" s="3" t="s">
        <v>56</v>
      </c>
      <c r="C28" s="3" t="s">
        <v>56</v>
      </c>
      <c r="D28" s="3" t="s">
        <v>56</v>
      </c>
      <c r="E28" s="3" t="s">
        <v>56</v>
      </c>
      <c r="F28" s="3" t="s">
        <v>56</v>
      </c>
      <c r="G28" s="3" t="s">
        <v>56</v>
      </c>
      <c r="H28" s="3" t="s">
        <v>56</v>
      </c>
      <c r="I28" s="3" t="s">
        <v>56</v>
      </c>
      <c r="J28" s="3" t="s">
        <v>56</v>
      </c>
      <c r="K28" s="3" t="s">
        <v>26</v>
      </c>
      <c r="L28" s="3" t="s">
        <v>25</v>
      </c>
      <c r="M28" s="3" t="s">
        <v>25</v>
      </c>
      <c r="N28" s="3" t="s">
        <v>28</v>
      </c>
      <c r="O28" s="3"/>
      <c r="P28" s="3"/>
      <c r="Q28" s="3"/>
      <c r="R28" s="3"/>
      <c r="S28" s="3"/>
    </row>
    <row r="1048576" customFormat="false" ht="12.8" hidden="false" customHeight="false" outlineLevel="0" collapsed="false"/>
  </sheetData>
  <conditionalFormatting sqref="B26:R26">
    <cfRule type="containsText" priority="2" operator="containsText" aboveAverage="0" equalAverage="0" bottom="0" percent="0" rank="0" text="0" dxfId="0">
      <formula>NOT(ISERROR(SEARCH("0",B26)))</formula>
    </cfRule>
    <cfRule type="containsText" priority="3" operator="containsText" aboveAverage="0" equalAverage="0" bottom="0" percent="0" rank="0" text="1" dxfId="1">
      <formula>NOT(ISERROR(SEARCH("1",B26)))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2025-07-09T09:33:29Z</dcterms:created>
  <dc:creator>Joseph Swan</dc:creator>
  <dc:description/>
  <dc:language>en-GB</dc:language>
  <cp:lastModifiedBy/>
  <dcterms:modified xsi:type="dcterms:W3CDTF">2026-08-01T12:04:32Z</dcterms:modified>
  <cp:revision>118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